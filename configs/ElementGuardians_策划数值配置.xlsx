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54c0750ec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概览" sheetId="1" r:id="Rf423633111cf47c1"/>
    <x:sheet xmlns:r="http://schemas.openxmlformats.org/officeDocument/2006/relationships" name="防御塔" sheetId="2" r:id="R435cb8f5f9f548a5"/>
    <x:sheet xmlns:r="http://schemas.openxmlformats.org/officeDocument/2006/relationships" name="敌人" sheetId="3" r:id="Re67106f68a354f92"/>
    <x:sheet xmlns:r="http://schemas.openxmlformats.org/officeDocument/2006/relationships" name="波次" sheetId="4" r:id="Rbb977f79452e46ed"/>
    <x:sheet xmlns:r="http://schemas.openxmlformats.org/officeDocument/2006/relationships" name="强化" sheetId="5" r:id="R85277e1dbf7d4f8e"/>
    <x:sheet xmlns:r="http://schemas.openxmlformats.org/officeDocument/2006/relationships" name="经济参数" sheetId="6" r:id="Rbbc6bc054f4f4572"/>
    <x:sheet xmlns:r="http://schemas.openxmlformats.org/officeDocument/2006/relationships" name="全局参数" sheetId="7" r:id="R8a7fc49154624197"/>
    <x:sheet xmlns:r="http://schemas.openxmlformats.org/officeDocument/2006/relationships" name="数值试算" sheetId="8" r:id="Rbacf7299071b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6E82"/>
      <x:name val="Carlito"/>
    </x:font>
    <x:font>
      <x:b/>
      <x:sz val="11"/>
      <x:color rgb="FF16324F"/>
      <x:name val="Carlito"/>
    </x:font>
    <x:font>
      <x:b/>
      <x:sz val="13"/>
      <x:color rgb="FF16324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8F55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4F7"/>
      </x:patternFill>
    </x:fill>
    <x:fill>
      <x:patternFill patternType="solid">
        <x:fgColor rgb="FF126E82"/>
      </x:patternFill>
    </x:fill>
    <x:fill>
      <x:patternFill patternType="solid">
        <x:fgColor rgb="FFFFF3DB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5a77e30a941ef" /><Relationship Type="http://schemas.openxmlformats.org/officeDocument/2006/relationships/theme" Target="/xl/theme/theme1.xml" Id="R2e73cbcce8734379" /><Relationship Type="http://schemas.openxmlformats.org/officeDocument/2006/relationships/sharedStrings" Target="/xl/sharedStrings.xml" Id="Ref9f9a95eb564897" /><Relationship Type="http://schemas.openxmlformats.org/officeDocument/2006/relationships/worksheet" Target="/xl/worksheets/sheet1.xml" Id="Rf423633111cf47c1" /><Relationship Type="http://schemas.openxmlformats.org/officeDocument/2006/relationships/worksheet" Target="/xl/worksheets/sheet2.xml" Id="R435cb8f5f9f548a5" /><Relationship Type="http://schemas.openxmlformats.org/officeDocument/2006/relationships/worksheet" Target="/xl/worksheets/sheet3.xml" Id="Re67106f68a354f92" /><Relationship Type="http://schemas.openxmlformats.org/officeDocument/2006/relationships/worksheet" Target="/xl/worksheets/sheet4.xml" Id="Rbb977f79452e46ed" /><Relationship Type="http://schemas.openxmlformats.org/officeDocument/2006/relationships/worksheet" Target="/xl/worksheets/sheet5.xml" Id="R85277e1dbf7d4f8e" /><Relationship Type="http://schemas.openxmlformats.org/officeDocument/2006/relationships/worksheet" Target="/xl/worksheets/sheet6.xml" Id="Rbbc6bc054f4f4572" /><Relationship Type="http://schemas.openxmlformats.org/officeDocument/2006/relationships/worksheet" Target="/xl/worksheets/sheet7.xml" Id="R8a7fc49154624197" /><Relationship Type="http://schemas.openxmlformats.org/officeDocument/2006/relationships/worksheet" Target="/xl/worksheets/sheet8.xml" Id="Rbacf7299071b4e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8" hidden="0" customWidth="1"/>
  </x:cols>
  <x:sheetData>
    <x:row r="1" ht="36" customHeight="1">
      <x:c r="A1" s="4" t="str">
        <x:v>元素守卫｜Element Guardians · 游戏策划数值工作簿</x:v>
      </x:c>
      <x:c r="B1" s="4"/>
      <x:c r="C1" s="4"/>
      <x:c r="D1" s="4"/>
      <x:c r="E1" s="4"/>
      <x:c r="F1" s="4"/>
      <x:c r="G1" s="4"/>
      <x:c r="H1" s="4"/>
    </x:row>
    <x:row r="3" ht="27" customHeight="1">
      <x:c r="A3" s="9" t="str">
        <x:v>项目状态</x:v>
      </x:c>
      <x:c r="B3" s="12" t="str">
        <x:v>0.1.0-planning（设计初稿，未经实际平衡测试）</x:v>
      </x:c>
    </x:row>
    <x:row r="4" ht="27" customHeight="1">
      <x:c r="A4" s="9" t="str">
        <x:v>引擎</x:v>
      </x:c>
      <x:c r="B4" s="12" t="str">
        <x:v>Godot 4.4.1 · 单机2D · 720×1280</x:v>
      </x:c>
    </x:row>
    <x:row r="5" ht="27" customHeight="1">
      <x:c r="A5" s="9" t="str">
        <x:v>守卫</x:v>
      </x:c>
      <x:c r="B5" s="12" t="str">
        <x:v>火焰 / 冰霜 / 雷电</x:v>
      </x:c>
    </x:row>
    <x:row r="6" ht="27" customHeight="1">
      <x:c r="A6" s="9" t="str">
        <x:v>敌人</x:v>
      </x:c>
      <x:c r="B6" s="12" t="str">
        <x:v>普通 / 迅捷 / 重甲 / Boss</x:v>
      </x:c>
    </x:row>
    <x:row r="7" ht="27" customHeight="1">
      <x:c r="A7" s="9" t="str">
        <x:v>关卡结构</x:v>
      </x:c>
      <x:c r="B7" s="12" t="str">
        <x:v>1张地图 · 6波 · Boss第6波</x:v>
      </x:c>
    </x:row>
    <x:row r="8" ht="27" customHeight="1">
      <x:c r="A8" s="9" t="str">
        <x:v>经济循环</x:v>
      </x:c>
      <x:c r="B8" s="12" t="str">
        <x:v>初始60金币 · 召唤20金币 · 波末20金币</x:v>
      </x:c>
    </x:row>
    <x:row r="9" ht="27" customHeight="1">
      <x:c r="A9" s="9" t="str">
        <x:v>合成规则</x:v>
      </x:c>
      <x:c r="B9" s="12" t="str">
        <x:v>相同类型且相同等级，2合1；最多Lv3</x:v>
      </x:c>
    </x:row>
    <x:row r="10" ht="27" customHeight="1">
      <x:c r="A10" s="9" t="str">
        <x:v>数据来源</x:v>
      </x:c>
      <x:c r="B10" s="12" t="str">
        <x:v>本XLSX为策划主表；Godot仅读导出CSV</x:v>
      </x:c>
    </x:row>
    <x:row r="11" ht="27" customHeight="1">
      <x:c r="A11" s="9" t="str">
        <x:v>下一步动作</x:v>
      </x:c>
      <x:c r="B11" s="12" t="str">
        <x:v>改数据→sync_config.py→validate_config.py→Godot实测</x:v>
      </x:c>
    </x:row>
    <x:row r="12" ht="27" customHeight="1">
      <x:c r="A12" s="9" t="str">
        <x:v>重要提醒</x:v>
      </x:c>
      <x:c r="B12" s="12" t="str">
        <x:v>本表全部初值均为待实测假设，不能宣称平衡已验证</x:v>
      </x:c>
    </x:row>
    <x:row r="14" ht="30" customHeight="1">
      <x:c r="A14" s="14" t="str">
        <x:v>表单导航：防御塔 / 敌人 / 波次 / 强化 / 经济参数 / 全局参数（这6表导出CSV）；数值试算（仅演示）</x:v>
      </x:c>
      <x:c r="B14" s="14"/>
      <x:c r="C14" s="14"/>
      <x:c r="D14" s="14"/>
      <x:c r="E14" s="14"/>
      <x:c r="F14" s="14"/>
      <x:c r="G14" s="14"/>
      <x:c r="H14" s="14"/>
    </x:row>
    <x:row r="16">
      <x:c r="A16" s="16" t="str">
        <x:v>配置变更流程</x:v>
      </x:c>
    </x:row>
    <x:row r="17">
      <x:c r="A17" s="8" t="str">
        <x:v>① 修改本表</x:v>
      </x:c>
      <x:c r="B17" s="12" t="str">
        <x:v>只修改六张数据表中的值；字段名和ID保持不变</x:v>
      </x:c>
    </x:row>
    <x:row r="18">
      <x:c r="A18" s="8" t="str">
        <x:v>② 同步CSV</x:v>
      </x:c>
      <x:c r="B18" s="12" t="str">
        <x:v>python tools/sync_config.py</x:v>
      </x:c>
    </x:row>
    <x:row r="19">
      <x:c r="A19" s="8" t="str">
        <x:v>③ 验证数据</x:v>
      </x:c>
      <x:c r="B19" s="12" t="str">
        <x:v>python tools/validate_config.py</x:v>
      </x:c>
    </x:row>
    <x:row r="20">
      <x:c r="A20" s="8" t="str">
        <x:v>④ 运行游戏</x:v>
      </x:c>
      <x:c r="B20" s="12" t="str">
        <x:v>Godot 4.4.1：完整战斗/日志/截图证据</x:v>
      </x:c>
    </x:row>
  </x:sheetData>
  <x:mergeCells>
    <x:mergeCell ref="A1:H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30" hidden="0" customWidth="1"/>
  </x:cols>
  <x:sheetData>
    <x:row r="1" ht="32" customHeight="1">
      <x:c r="A1" s="19" t="str">
        <x:v>tower_id</x:v>
      </x:c>
      <x:c r="B1" s="19" t="str">
        <x:v>name</x:v>
      </x:c>
      <x:c r="C1" s="19" t="str">
        <x:v>base_damage</x:v>
      </x:c>
      <x:c r="D1" s="19" t="str">
        <x:v>attack_interval_s</x:v>
      </x:c>
      <x:c r="E1" s="19" t="str">
        <x:v>range_px</x:v>
      </x:c>
      <x:c r="F1" s="19" t="str">
        <x:v>summon_weight</x:v>
      </x:c>
      <x:c r="G1" s="19" t="str">
        <x:v>slow_pct</x:v>
      </x:c>
      <x:c r="H1" s="19" t="str">
        <x:v>slow_duration_s</x:v>
      </x:c>
      <x:c r="I1" s="19" t="str">
        <x:v>chain_extra_targets</x:v>
      </x:c>
      <x:c r="J1" s="19" t="str">
        <x:v>chain_damage_ratio</x:v>
      </x:c>
      <x:c r="K1" s="19" t="str">
        <x:v>color_hex</x:v>
      </x:c>
    </x:row>
    <x:row r="2" ht="26" customHeight="1">
      <x:c r="A2" s="12" t="str">
        <x:v>fire</x:v>
      </x:c>
      <x:c r="B2" s="12" t="str">
        <x:v>火焰守卫</x:v>
      </x:c>
      <x:c r="C2" s="24" t="n">
        <x:v>12</x:v>
      </x:c>
      <x:c r="D2" s="24" t="n">
        <x:v>1</x:v>
      </x:c>
      <x:c r="E2" s="24" t="n">
        <x:v>230</x:v>
      </x:c>
      <x:c r="F2" s="12" t="n">
        <x:v>4</x:v>
      </x:c>
      <x:c r="G2" s="22" t="n">
        <x:v>0</x:v>
      </x:c>
      <x:c r="H2" s="22" t="n">
        <x:v>0</x:v>
      </x:c>
      <x:c r="I2" s="12" t="n">
        <x:v>0</x:v>
      </x:c>
      <x:c r="J2" s="22" t="n">
        <x:v>0</x:v>
      </x:c>
      <x:c r="K2" s="12" t="str">
        <x:v>#F97316</x:v>
      </x:c>
    </x:row>
    <x:row r="3" ht="26" customHeight="1">
      <x:c r="A3" s="12" t="str">
        <x:v>ice</x:v>
      </x:c>
      <x:c r="B3" s="12" t="str">
        <x:v>冰霜守卫</x:v>
      </x:c>
      <x:c r="C3" s="24" t="n">
        <x:v>8</x:v>
      </x:c>
      <x:c r="D3" s="24" t="n">
        <x:v>1.2</x:v>
      </x:c>
      <x:c r="E3" s="24" t="n">
        <x:v>235</x:v>
      </x:c>
      <x:c r="F3" s="12" t="n">
        <x:v>3</x:v>
      </x:c>
      <x:c r="G3" s="22" t="n">
        <x:v>0.2</x:v>
      </x:c>
      <x:c r="H3" s="22" t="n">
        <x:v>1.5</x:v>
      </x:c>
      <x:c r="I3" s="12" t="n">
        <x:v>0</x:v>
      </x:c>
      <x:c r="J3" s="22" t="n">
        <x:v>0</x:v>
      </x:c>
      <x:c r="K3" s="12" t="str">
        <x:v>#38BDF8</x:v>
      </x:c>
    </x:row>
    <x:row r="4" ht="26" customHeight="1">
      <x:c r="A4" s="12" t="str">
        <x:v>lightning</x:v>
      </x:c>
      <x:c r="B4" s="12" t="str">
        <x:v>雷电守卫</x:v>
      </x:c>
      <x:c r="C4" s="24" t="n">
        <x:v>6</x:v>
      </x:c>
      <x:c r="D4" s="24" t="n">
        <x:v>0.8</x:v>
      </x:c>
      <x:c r="E4" s="24" t="n">
        <x:v>225</x:v>
      </x:c>
      <x:c r="F4" s="12" t="n">
        <x:v>3</x:v>
      </x:c>
      <x:c r="G4" s="22" t="n">
        <x:v>0</x:v>
      </x:c>
      <x:c r="H4" s="22" t="n">
        <x:v>0</x:v>
      </x:c>
      <x:c r="I4" s="12" t="n">
        <x:v>1</x:v>
      </x:c>
      <x:c r="J4" s="22" t="n">
        <x:v>0.5</x:v>
      </x:c>
      <x:c r="K4" s="12" t="str">
        <x:v>#A78BFA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0" hidden="0" customWidth="1"/>
  </x:cols>
  <x:sheetData>
    <x:row r="1" ht="32" customHeight="1">
      <x:c r="A1" s="19" t="str">
        <x:v>enemy_id</x:v>
      </x:c>
      <x:c r="B1" s="19" t="str">
        <x:v>name</x:v>
      </x:c>
      <x:c r="C1" s="19" t="str">
        <x:v>hp</x:v>
      </x:c>
      <x:c r="D1" s="19" t="str">
        <x:v>speed_px_s</x:v>
      </x:c>
      <x:c r="E1" s="19" t="str">
        <x:v>reward_gold</x:v>
      </x:c>
      <x:c r="F1" s="19" t="str">
        <x:v>leak_damage</x:v>
      </x:c>
      <x:c r="G1" s="19" t="str">
        <x:v>is_boss</x:v>
      </x:c>
      <x:c r="H1" s="19" t="str">
        <x:v>color_hex</x:v>
      </x:c>
    </x:row>
    <x:row r="2" ht="26" customHeight="1">
      <x:c r="A2" s="12" t="str">
        <x:v>grunt</x:v>
      </x:c>
      <x:c r="B2" s="12" t="str">
        <x:v>普通敌人</x:v>
      </x:c>
      <x:c r="C2" s="12" t="n">
        <x:v>32</x:v>
      </x:c>
      <x:c r="D2" s="12" t="n">
        <x:v>90</x:v>
      </x:c>
      <x:c r="E2" s="12" t="n">
        <x:v>5</x:v>
      </x:c>
      <x:c r="F2" s="12" t="n">
        <x:v>1</x:v>
      </x:c>
      <x:c r="G2" s="12" t="n">
        <x:v>0</x:v>
      </x:c>
      <x:c r="H2" s="12" t="str">
        <x:v>#F87171</x:v>
      </x:c>
    </x:row>
    <x:row r="3" ht="26" customHeight="1">
      <x:c r="A3" s="12" t="str">
        <x:v>swift</x:v>
      </x:c>
      <x:c r="B3" s="12" t="str">
        <x:v>迅捷敌人</x:v>
      </x:c>
      <x:c r="C3" s="12" t="n">
        <x:v>22</x:v>
      </x:c>
      <x:c r="D3" s="12" t="n">
        <x:v>145</x:v>
      </x:c>
      <x:c r="E3" s="12" t="n">
        <x:v>6</x:v>
      </x:c>
      <x:c r="F3" s="12" t="n">
        <x:v>1</x:v>
      </x:c>
      <x:c r="G3" s="12" t="n">
        <x:v>0</x:v>
      </x:c>
      <x:c r="H3" s="12" t="str">
        <x:v>#FB923C</x:v>
      </x:c>
    </x:row>
    <x:row r="4" ht="26" customHeight="1">
      <x:c r="A4" s="12" t="str">
        <x:v>armor</x:v>
      </x:c>
      <x:c r="B4" s="12" t="str">
        <x:v>重甲敌人</x:v>
      </x:c>
      <x:c r="C4" s="12" t="n">
        <x:v>95</x:v>
      </x:c>
      <x:c r="D4" s="12" t="n">
        <x:v>65</x:v>
      </x:c>
      <x:c r="E4" s="12" t="n">
        <x:v>8</x:v>
      </x:c>
      <x:c r="F4" s="12" t="n">
        <x:v>2</x:v>
      </x:c>
      <x:c r="G4" s="12" t="n">
        <x:v>0</x:v>
      </x:c>
      <x:c r="H4" s="12" t="str">
        <x:v>#64748B</x:v>
      </x:c>
    </x:row>
    <x:row r="5" ht="26" customHeight="1">
      <x:c r="A5" s="12" t="str">
        <x:v>boss</x:v>
      </x:c>
      <x:c r="B5" s="12" t="str">
        <x:v>元素首领</x:v>
      </x:c>
      <x:c r="C5" s="12" t="n">
        <x:v>600</x:v>
      </x:c>
      <x:c r="D5" s="12" t="n">
        <x:v>48</x:v>
      </x:c>
      <x:c r="E5" s="12" t="n">
        <x:v>40</x:v>
      </x:c>
      <x:c r="F5" s="12" t="n">
        <x:v>5</x:v>
      </x:c>
      <x:c r="G5" s="12" t="n">
        <x:v>1</x:v>
      </x:c>
      <x:c r="H5" s="12" t="str">
        <x:v>#E879F9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32" customHeight="1">
      <x:c r="A1" s="19" t="str">
        <x:v>wave</x:v>
      </x:c>
      <x:c r="B1" s="19" t="str">
        <x:v>enemy_id</x:v>
      </x:c>
      <x:c r="C1" s="19" t="str">
        <x:v>count</x:v>
      </x:c>
      <x:c r="D1" s="19" t="str">
        <x:v>spawn_interval_s</x:v>
      </x:c>
      <x:c r="E1" s="19" t="str">
        <x:v>delay_s</x:v>
      </x:c>
    </x:row>
    <x:row r="2" ht="26" customHeight="1">
      <x:c r="A2" s="12" t="n">
        <x:v>1</x:v>
      </x:c>
      <x:c r="B2" s="12" t="str">
        <x:v>grunt</x:v>
      </x:c>
      <x:c r="C2" s="12" t="n">
        <x:v>6</x:v>
      </x:c>
      <x:c r="D2" s="12" t="n">
        <x:v>1.2</x:v>
      </x:c>
      <x:c r="E2" s="12" t="n">
        <x:v>0</x:v>
      </x:c>
    </x:row>
    <x:row r="3" ht="26" customHeight="1">
      <x:c r="A3" s="12" t="n">
        <x:v>2</x:v>
      </x:c>
      <x:c r="B3" s="12" t="str">
        <x:v>grunt</x:v>
      </x:c>
      <x:c r="C3" s="12" t="n">
        <x:v>7</x:v>
      </x:c>
      <x:c r="D3" s="12" t="n">
        <x:v>1</x:v>
      </x:c>
      <x:c r="E3" s="12" t="n">
        <x:v>0</x:v>
      </x:c>
    </x:row>
    <x:row r="4" ht="26" customHeight="1">
      <x:c r="A4" s="12" t="n">
        <x:v>2</x:v>
      </x:c>
      <x:c r="B4" s="12" t="str">
        <x:v>swift</x:v>
      </x:c>
      <x:c r="C4" s="12" t="n">
        <x:v>2</x:v>
      </x:c>
      <x:c r="D4" s="12" t="n">
        <x:v>0.85</x:v>
      </x:c>
      <x:c r="E4" s="12" t="n">
        <x:v>3</x:v>
      </x:c>
    </x:row>
    <x:row r="5" ht="26" customHeight="1">
      <x:c r="A5" s="12" t="n">
        <x:v>3</x:v>
      </x:c>
      <x:c r="B5" s="12" t="str">
        <x:v>grunt</x:v>
      </x:c>
      <x:c r="C5" s="12" t="n">
        <x:v>6</x:v>
      </x:c>
      <x:c r="D5" s="12" t="n">
        <x:v>0.85</x:v>
      </x:c>
      <x:c r="E5" s="12" t="n">
        <x:v>0</x:v>
      </x:c>
    </x:row>
    <x:row r="6" ht="26" customHeight="1">
      <x:c r="A6" s="12" t="n">
        <x:v>3</x:v>
      </x:c>
      <x:c r="B6" s="12" t="str">
        <x:v>swift</x:v>
      </x:c>
      <x:c r="C6" s="12" t="n">
        <x:v>4</x:v>
      </x:c>
      <x:c r="D6" s="12" t="n">
        <x:v>0.7</x:v>
      </x:c>
      <x:c r="E6" s="12" t="n">
        <x:v>2</x:v>
      </x:c>
    </x:row>
    <x:row r="7" ht="26" customHeight="1">
      <x:c r="A7" s="12" t="n">
        <x:v>4</x:v>
      </x:c>
      <x:c r="B7" s="12" t="str">
        <x:v>armor</x:v>
      </x:c>
      <x:c r="C7" s="12" t="n">
        <x:v>4</x:v>
      </x:c>
      <x:c r="D7" s="12" t="n">
        <x:v>1.3</x:v>
      </x:c>
      <x:c r="E7" s="12" t="n">
        <x:v>0</x:v>
      </x:c>
    </x:row>
    <x:row r="8" ht="26" customHeight="1">
      <x:c r="A8" s="12" t="n">
        <x:v>4</x:v>
      </x:c>
      <x:c r="B8" s="12" t="str">
        <x:v>grunt</x:v>
      </x:c>
      <x:c r="C8" s="12" t="n">
        <x:v>6</x:v>
      </x:c>
      <x:c r="D8" s="12" t="n">
        <x:v>0.9</x:v>
      </x:c>
      <x:c r="E8" s="12" t="n">
        <x:v>2</x:v>
      </x:c>
    </x:row>
    <x:row r="9" ht="26" customHeight="1">
      <x:c r="A9" s="12" t="n">
        <x:v>5</x:v>
      </x:c>
      <x:c r="B9" s="12" t="str">
        <x:v>swift</x:v>
      </x:c>
      <x:c r="C9" s="12" t="n">
        <x:v>8</x:v>
      </x:c>
      <x:c r="D9" s="12" t="n">
        <x:v>0.65</x:v>
      </x:c>
      <x:c r="E9" s="12" t="n">
        <x:v>0</x:v>
      </x:c>
    </x:row>
    <x:row r="10" ht="26" customHeight="1">
      <x:c r="A10" s="12" t="n">
        <x:v>5</x:v>
      </x:c>
      <x:c r="B10" s="12" t="str">
        <x:v>armor</x:v>
      </x:c>
      <x:c r="C10" s="12" t="n">
        <x:v>4</x:v>
      </x:c>
      <x:c r="D10" s="12" t="n">
        <x:v>1</x:v>
      </x:c>
      <x:c r="E10" s="12" t="n">
        <x:v>3</x:v>
      </x:c>
    </x:row>
    <x:row r="11" ht="26" customHeight="1">
      <x:c r="A11" s="12" t="n">
        <x:v>6</x:v>
      </x:c>
      <x:c r="B11" s="12" t="str">
        <x:v>grunt</x:v>
      </x:c>
      <x:c r="C11" s="12" t="n">
        <x:v>6</x:v>
      </x:c>
      <x:c r="D11" s="12" t="n">
        <x:v>0.7</x:v>
      </x:c>
      <x:c r="E11" s="12" t="n">
        <x:v>0</x:v>
      </x:c>
    </x:row>
    <x:row r="12" ht="26" customHeight="1">
      <x:c r="A12" s="12" t="n">
        <x:v>6</x:v>
      </x:c>
      <x:c r="B12" s="12" t="str">
        <x:v>armor</x:v>
      </x:c>
      <x:c r="C12" s="12" t="n">
        <x:v>5</x:v>
      </x:c>
      <x:c r="D12" s="12" t="n">
        <x:v>1</x:v>
      </x:c>
      <x:c r="E12" s="12" t="n">
        <x:v>2</x:v>
      </x:c>
    </x:row>
    <x:row r="13" ht="26" customHeight="1">
      <x:c r="A13" s="12" t="n">
        <x:v>6</x:v>
      </x:c>
      <x:c r="B13" s="12" t="str">
        <x:v>boss</x:v>
      </x:c>
      <x:c r="C13" s="12" t="n">
        <x:v>1</x:v>
      </x:c>
      <x:c r="D13" s="12" t="n">
        <x:v>1</x:v>
      </x:c>
      <x:c r="E13" s="12" t="n">
        <x:v>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17" hidden="0" customWidth="1"/>
    <x:col min="5" max="5" width="17" hidden="0" customWidth="1"/>
    <x:col min="6" max="6" width="57" hidden="0" customWidth="1"/>
  </x:cols>
  <x:sheetData>
    <x:row r="1" ht="32" customHeight="1">
      <x:c r="A1" s="19" t="str">
        <x:v>upgrade_id</x:v>
      </x:c>
      <x:c r="B1" s="19" t="str">
        <x:v>name</x:v>
      </x:c>
      <x:c r="C1" s="19" t="str">
        <x:v>effect_key</x:v>
      </x:c>
      <x:c r="D1" s="19" t="str">
        <x:v>effect_value</x:v>
      </x:c>
      <x:c r="E1" s="19" t="str">
        <x:v>max_stacks</x:v>
      </x:c>
      <x:c r="F1" s="19" t="str">
        <x:v>description</x:v>
      </x:c>
    </x:row>
    <x:row r="2" ht="26" customHeight="1">
      <x:c r="A2" s="12" t="str">
        <x:v>power</x:v>
      </x:c>
      <x:c r="B2" s="12" t="str">
        <x:v>全军增幅</x:v>
      </x:c>
      <x:c r="C2" s="12" t="str">
        <x:v>global_damage_bonus</x:v>
      </x:c>
      <x:c r="D2" s="26" t="n">
        <x:v>0.1</x:v>
      </x:c>
      <x:c r="E2" s="12" t="n">
        <x:v>2</x:v>
      </x:c>
      <x:c r="F2" s="12" t="str">
        <x:v>全部守卫伤害+10%（与类型加成相加）</x:v>
      </x:c>
    </x:row>
    <x:row r="3" ht="26" customHeight="1">
      <x:c r="A3" s="12" t="str">
        <x:v>speed</x:v>
      </x:c>
      <x:c r="B3" s="12" t="str">
        <x:v>快速施法</x:v>
      </x:c>
      <x:c r="C3" s="12" t="str">
        <x:v>attack_interval_scale</x:v>
      </x:c>
      <x:c r="D3" s="26" t="n">
        <x:v>0.9</x:v>
      </x:c>
      <x:c r="E3" s="12" t="n">
        <x:v>2</x:v>
      </x:c>
      <x:c r="F3" s="12" t="str">
        <x:v>攻击间隔×0.90，最多2层</x:v>
      </x:c>
    </x:row>
    <x:row r="4" ht="26" customHeight="1">
      <x:c r="A4" s="12" t="str">
        <x:v>fire_boost</x:v>
      </x:c>
      <x:c r="B4" s="12" t="str">
        <x:v>烈焰精进</x:v>
      </x:c>
      <x:c r="C4" s="12" t="str">
        <x:v>fire_damage_bonus</x:v>
      </x:c>
      <x:c r="D4" s="26" t="n">
        <x:v>0.2</x:v>
      </x:c>
      <x:c r="E4" s="12" t="n">
        <x:v>2</x:v>
      </x:c>
      <x:c r="F4" s="12" t="str">
        <x:v>火焰守卫伤害+20%</x:v>
      </x:c>
    </x:row>
    <x:row r="5" ht="26" customHeight="1">
      <x:c r="A5" s="12" t="str">
        <x:v>ice_slow</x:v>
      </x:c>
      <x:c r="B5" s="12" t="str">
        <x:v>极寒禁锢</x:v>
      </x:c>
      <x:c r="C5" s="12" t="str">
        <x:v>ice_slow_bonus</x:v>
      </x:c>
      <x:c r="D5" s="26" t="n">
        <x:v>0.1</x:v>
      </x:c>
      <x:c r="E5" s="12" t="n">
        <x:v>2</x:v>
      </x:c>
      <x:c r="F5" s="12" t="str">
        <x:v>冰霜减速+10个百分点（上限60%）</x:v>
      </x:c>
    </x:row>
    <x:row r="6" ht="26" customHeight="1">
      <x:c r="A6" s="12" t="str">
        <x:v>chain</x:v>
      </x:c>
      <x:c r="B6" s="12" t="str">
        <x:v>连锁闪击</x:v>
      </x:c>
      <x:c r="C6" s="12" t="str">
        <x:v>lightning_extra_targets</x:v>
      </x:c>
      <x:c r="D6" s="26" t="n">
        <x:v>1</x:v>
      </x:c>
      <x:c r="E6" s="12" t="n">
        <x:v>2</x:v>
      </x:c>
      <x:c r="F6" s="12" t="str">
        <x:v>雷电每层额外增加1个连锁目标</x:v>
      </x:c>
    </x:row>
    <x:row r="7" ht="26" customHeight="1">
      <x:c r="A7" s="12" t="str">
        <x:v>gold</x:v>
      </x:c>
      <x:c r="B7" s="12" t="str">
        <x:v>战利品加成</x:v>
      </x:c>
      <x:c r="C7" s="12" t="str">
        <x:v>kill_gold_bonus</x:v>
      </x:c>
      <x:c r="D7" s="26" t="n">
        <x:v>2</x:v>
      </x:c>
      <x:c r="E7" s="12" t="n">
        <x:v>2</x:v>
      </x:c>
      <x:c r="F7" s="12" t="str">
        <x:v>每次击杀额外获得2金币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57" hidden="0" customWidth="1"/>
  </x:cols>
  <x:sheetData>
    <x:row r="1" ht="32" customHeight="1">
      <x:c r="A1" s="19" t="str">
        <x:v>key</x:v>
      </x:c>
      <x:c r="B1" s="19" t="str">
        <x:v>value</x:v>
      </x:c>
      <x:c r="C1" s="19" t="str">
        <x:v>description</x:v>
      </x:c>
    </x:row>
    <x:row r="2" ht="26" customHeight="1">
      <x:c r="A2" s="12" t="str">
        <x:v>initial_gold</x:v>
      </x:c>
      <x:c r="B2" s="12" t="n">
        <x:v>60</x:v>
      </x:c>
      <x:c r="C2" s="12" t="str">
        <x:v>开局金币</x:v>
      </x:c>
    </x:row>
    <x:row r="3" ht="26" customHeight="1">
      <x:c r="A3" s="12" t="str">
        <x:v>summon_cost</x:v>
      </x:c>
      <x:c r="B3" s="12" t="n">
        <x:v>20</x:v>
      </x:c>
      <x:c r="C3" s="12" t="str">
        <x:v>召唤费用，固定</x:v>
      </x:c>
    </x:row>
    <x:row r="4" ht="26" customHeight="1">
      <x:c r="A4" s="12" t="str">
        <x:v>wave_clear_reward</x:v>
      </x:c>
      <x:c r="B4" s="12" t="n">
        <x:v>20</x:v>
      </x:c>
      <x:c r="C4" s="12" t="str">
        <x:v>每波完成奖励</x:v>
      </x:c>
    </x:row>
    <x:row r="5" ht="26" customHeight="1">
      <x:c r="A5" s="12" t="str">
        <x:v>base_hp</x:v>
      </x:c>
      <x:c r="B5" s="12" t="n">
        <x:v>10</x:v>
      </x:c>
      <x:c r="C5" s="12" t="str">
        <x:v>基地初始生命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57" hidden="0" customWidth="1"/>
  </x:cols>
  <x:sheetData>
    <x:row r="1" ht="32" customHeight="1">
      <x:c r="A1" s="19" t="str">
        <x:v>key</x:v>
      </x:c>
      <x:c r="B1" s="19" t="str">
        <x:v>value</x:v>
      </x:c>
      <x:c r="C1" s="19" t="str">
        <x:v>description</x:v>
      </x:c>
    </x:row>
    <x:row r="2" ht="26" customHeight="1">
      <x:c r="A2" s="12" t="str">
        <x:v>board_cols</x:v>
      </x:c>
      <x:c r="B2" s="12" t="n">
        <x:v>3</x:v>
      </x:c>
      <x:c r="C2" s="12" t="str">
        <x:v>棋盘列数</x:v>
      </x:c>
    </x:row>
    <x:row r="3" ht="26" customHeight="1">
      <x:c r="A3" s="12" t="str">
        <x:v>board_rows</x:v>
      </x:c>
      <x:c r="B3" s="12" t="n">
        <x:v>3</x:v>
      </x:c>
      <x:c r="C3" s="12" t="str">
        <x:v>棋盘行数</x:v>
      </x:c>
    </x:row>
    <x:row r="4" ht="26" customHeight="1">
      <x:c r="A4" s="12" t="str">
        <x:v>max_tower_level</x:v>
      </x:c>
      <x:c r="B4" s="12" t="n">
        <x:v>3</x:v>
      </x:c>
      <x:c r="C4" s="12" t="str">
        <x:v>塔上限等级</x:v>
      </x:c>
    </x:row>
    <x:row r="5" ht="26" customHeight="1">
      <x:c r="A5" s="12" t="str">
        <x:v>level2_damage_mult</x:v>
      </x:c>
      <x:c r="B5" s="12" t="n">
        <x:v>1.75</x:v>
      </x:c>
      <x:c r="C5" s="12" t="str">
        <x:v>二级伤害倍率</x:v>
      </x:c>
    </x:row>
    <x:row r="6" ht="26" customHeight="1">
      <x:c r="A6" s="12" t="str">
        <x:v>level3_damage_mult</x:v>
      </x:c>
      <x:c r="B6" s="12" t="n">
        <x:v>3</x:v>
      </x:c>
      <x:c r="C6" s="12" t="str">
        <x:v>三级伤害倍率</x:v>
      </x:c>
    </x:row>
    <x:row r="7" ht="26" customHeight="1">
      <x:c r="A7" s="12" t="str">
        <x:v>max_ice_slow_pct</x:v>
      </x:c>
      <x:c r="B7" s="12" t="n">
        <x:v>0.6</x:v>
      </x:c>
      <x:c r="C7" s="12" t="str">
        <x:v>最大减速比例</x:v>
      </x:c>
    </x:row>
    <x:row r="8" ht="26" customHeight="1">
      <x:c r="A8" s="12" t="str">
        <x:v>lightning_chain_max_extra_targets</x:v>
      </x:c>
      <x:c r="B8" s="12" t="n">
        <x:v>3</x:v>
      </x:c>
      <x:c r="C8" s="12" t="str">
        <x:v>额外连锁目标上限</x:v>
      </x:c>
    </x:row>
    <x:row r="9" ht="26" customHeight="1">
      <x:c r="A9" s="12" t="str">
        <x:v>design_width</x:v>
      </x:c>
      <x:c r="B9" s="12" t="n">
        <x:v>720</x:v>
      </x:c>
      <x:c r="C9" s="12" t="str">
        <x:v>竖屏设计宽度</x:v>
      </x:c>
    </x:row>
    <x:row r="10" ht="26" customHeight="1">
      <x:c r="A10" s="12" t="str">
        <x:v>design_height</x:v>
      </x:c>
      <x:c r="B10" s="12" t="n">
        <x:v>1280</x:v>
      </x:c>
      <x:c r="C10" s="12" t="str">
        <x:v>竖屏设计高度</x:v>
      </x:c>
    </x:row>
    <x:row r="11" ht="26" customHeight="1">
      <x:c r="A11" s="12" t="str">
        <x:v>gameplay_seed_default</x:v>
      </x:c>
      <x:c r="B11" s="12" t="n">
        <x:v>20261018</x:v>
      </x:c>
      <x:c r="C11" s="12" t="str">
        <x:v>默认固定随机种子（测试时可覆盖）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28" t="str">
        <x:v>策划数值试算｜静态DPS，不等于实战有效输出</x:v>
      </x:c>
      <x:c r="B1" s="28"/>
      <x:c r="C1" s="28"/>
      <x:c r="D1" s="28"/>
      <x:c r="E1" s="28"/>
      <x:c r="F1" s="28"/>
      <x:c r="G1" s="28"/>
      <x:c r="H1" s="28"/>
      <x:c r="I1" s="28"/>
    </x:row>
    <x:row r="3" ht="34" customHeight="1">
      <x:c r="A3" s="32" t="str">
        <x:v>守卫</x:v>
      </x:c>
      <x:c r="B3" s="32" t="str">
        <x:v>Lv1单次伤害</x:v>
      </x:c>
      <x:c r="C3" s="32" t="str">
        <x:v>攻击间隔(s)</x:v>
      </x:c>
      <x:c r="D3" s="32" t="str">
        <x:v>Lv1理论DPS</x:v>
      </x:c>
      <x:c r="E3" s="32" t="str">
        <x:v>2个Lv1总DPS</x:v>
      </x:c>
      <x:c r="F3" s="32" t="str">
        <x:v>合成Lv2理论DPS</x:v>
      </x:c>
      <x:c r="G3" s="32" t="str">
        <x:v>合成后DPS变化</x:v>
      </x:c>
    </x:row>
    <x:row r="4">
      <x:c r="A4" t="str">
        <x:f>'防御塔'!B2</x:f>
        <x:v>火焰守卫</x:v>
      </x:c>
      <x:c r="B4" s="36" t="n">
        <x:f>'防御塔'!C2</x:f>
        <x:v>12</x:v>
      </x:c>
      <x:c r="C4" s="36" t="n">
        <x:f>'防御塔'!D2</x:f>
        <x:v>1</x:v>
      </x:c>
      <x:c r="D4" s="36" t="n">
        <x:f>B4/C4</x:f>
        <x:v>12</x:v>
      </x:c>
      <x:c r="E4" s="36" t="n">
        <x:f>D4*2</x:f>
        <x:v>24</x:v>
      </x:c>
      <x:c r="F4" s="36" t="n">
        <x:f>D4*'全局参数'!$B$5</x:f>
        <x:v>21</x:v>
      </x:c>
      <x:c r="G4" s="36" t="n">
        <x:f>F4-E4</x:f>
        <x:v>-3</x:v>
      </x:c>
    </x:row>
    <x:row r="5">
      <x:c r="A5" t="str">
        <x:f>'防御塔'!B3</x:f>
        <x:v>冰霜守卫</x:v>
      </x:c>
      <x:c r="B5" s="36" t="n">
        <x:f>'防御塔'!C3</x:f>
        <x:v>8</x:v>
      </x:c>
      <x:c r="C5" s="36" t="n">
        <x:f>'防御塔'!D3</x:f>
        <x:v>1.2</x:v>
      </x:c>
      <x:c r="D5" s="36" t="n">
        <x:f>B5/C5</x:f>
        <x:v>6.666666666666667</x:v>
      </x:c>
      <x:c r="E5" s="36" t="n">
        <x:f>D5*2</x:f>
        <x:v>13.333333333333334</x:v>
      </x:c>
      <x:c r="F5" s="36" t="n">
        <x:f>D5*'全局参数'!$B$5</x:f>
        <x:v>11.666666666666668</x:v>
      </x:c>
      <x:c r="G5" s="36" t="n">
        <x:f>F5-E5</x:f>
        <x:v>-1.666666666666666</x:v>
      </x:c>
    </x:row>
    <x:row r="6">
      <x:c r="A6" t="str">
        <x:f>'防御塔'!B4</x:f>
        <x:v>雷电守卫</x:v>
      </x:c>
      <x:c r="B6" s="36" t="n">
        <x:f>'防御塔'!C4</x:f>
        <x:v>6</x:v>
      </x:c>
      <x:c r="C6" s="36" t="n">
        <x:f>'防御塔'!D4</x:f>
        <x:v>0.8</x:v>
      </x:c>
      <x:c r="D6" s="36" t="n">
        <x:f>B6/C6</x:f>
        <x:v>7.5</x:v>
      </x:c>
      <x:c r="E6" s="36" t="n">
        <x:f>D6*2</x:f>
        <x:v>15</x:v>
      </x:c>
      <x:c r="F6" s="36" t="n">
        <x:f>D6*'全局参数'!$B$5</x:f>
        <x:v>13.125</x:v>
      </x:c>
      <x:c r="G6" s="36" t="n">
        <x:f>F6-E6</x:f>
        <x:v>-1.875</x:v>
      </x:c>
    </x:row>
    <x:row r="8" ht="40" customHeight="1">
      <x:c r="A8" s="40" t="str">
        <x:v>设计提示：两只Lv1合并为一只Lv2时，总静态DPS会减少12.5%，但腾出1格用于新召唤。这是有意的策略取舍。</x:v>
      </x:c>
      <x:c r="B8" s="40"/>
      <x:c r="C8" s="40"/>
      <x:c r="D8" s="40"/>
      <x:c r="E8" s="40"/>
      <x:c r="F8" s="40"/>
      <x:c r="G8" s="40"/>
    </x:row>
    <x:row r="11">
      <x:c r="A11" s="31" t="str">
        <x:v>波次</x:v>
      </x:c>
      <x:c r="B11" s="31" t="str">
        <x:v>总敌人数</x:v>
      </x:c>
      <x:c r="C11" s="31" t="str">
        <x:v>Boss数量</x:v>
      </x:c>
      <x:c r="D11" s="31" t="str">
        <x:v>说明</x:v>
      </x:c>
    </x:row>
    <x:row r="12">
      <x:c r="A12" t="n">
        <x:v>1</x:v>
      </x:c>
      <x:c r="B12" t="n">
        <x:f>SUMIF('波次'!$A$2:$A$13,A12,'波次'!$C$2:$C$13)</x:f>
        <x:v>6</x:v>
      </x:c>
      <x:c r="C12" t="n">
        <x:f>SUMIFS('波次'!$C$2:$C$13,'波次'!$A$2:$A$13,A12,'波次'!$B$2:$B$13,"boss")</x:f>
        <x:v>0</x:v>
      </x:c>
      <x:c r="D12" t="str">
        <x:v>波末强化</x:v>
      </x:c>
    </x:row>
    <x:row r="13">
      <x:c r="A13" t="n">
        <x:v>2</x:v>
      </x:c>
      <x:c r="B13" t="n">
        <x:f>SUMIF('波次'!$A$2:$A$13,A13,'波次'!$C$2:$C$13)</x:f>
        <x:v>9</x:v>
      </x:c>
      <x:c r="C13" t="n">
        <x:f>SUMIFS('波次'!$C$2:$C$13,'波次'!$A$2:$A$13,A13,'波次'!$B$2:$B$13,"boss")</x:f>
        <x:v>0</x:v>
      </x:c>
      <x:c r="D13" t="str">
        <x:v>波末强化</x:v>
      </x:c>
    </x:row>
    <x:row r="14">
      <x:c r="A14" t="n">
        <x:v>3</x:v>
      </x:c>
      <x:c r="B14" t="n">
        <x:f>SUMIF('波次'!$A$2:$A$13,A14,'波次'!$C$2:$C$13)</x:f>
        <x:v>10</x:v>
      </x:c>
      <x:c r="C14" t="n">
        <x:f>SUMIFS('波次'!$C$2:$C$13,'波次'!$A$2:$A$13,A14,'波次'!$B$2:$B$13,"boss")</x:f>
        <x:v>0</x:v>
      </x:c>
      <x:c r="D14" t="str">
        <x:v>波末强化</x:v>
      </x:c>
    </x:row>
    <x:row r="15">
      <x:c r="A15" t="n">
        <x:v>4</x:v>
      </x:c>
      <x:c r="B15" t="n">
        <x:f>SUMIF('波次'!$A$2:$A$13,A15,'波次'!$C$2:$C$13)</x:f>
        <x:v>10</x:v>
      </x:c>
      <x:c r="C15" t="n">
        <x:f>SUMIFS('波次'!$C$2:$C$13,'波次'!$A$2:$A$13,A15,'波次'!$B$2:$B$13,"boss")</x:f>
        <x:v>0</x:v>
      </x:c>
      <x:c r="D15" t="str">
        <x:v>波末强化</x:v>
      </x:c>
    </x:row>
    <x:row r="16">
      <x:c r="A16" t="n">
        <x:v>5</x:v>
      </x:c>
      <x:c r="B16" t="n">
        <x:f>SUMIF('波次'!$A$2:$A$13,A16,'波次'!$C$2:$C$13)</x:f>
        <x:v>12</x:v>
      </x:c>
      <x:c r="C16" t="n">
        <x:f>SUMIFS('波次'!$C$2:$C$13,'波次'!$A$2:$A$13,A16,'波次'!$B$2:$B$13,"boss")</x:f>
        <x:v>0</x:v>
      </x:c>
      <x:c r="D16" t="str">
        <x:v>波末强化</x:v>
      </x:c>
    </x:row>
    <x:row r="17">
      <x:c r="A17" t="n">
        <x:v>6</x:v>
      </x:c>
      <x:c r="B17" t="n">
        <x:f>SUMIF('波次'!$A$2:$A$13,A17,'波次'!$C$2:$C$13)</x:f>
        <x:v>12</x:v>
      </x:c>
      <x:c r="C17" t="n">
        <x:f>SUMIFS('波次'!$C$2:$C$13,'波次'!$A$2:$A$13,A17,'波次'!$B$2:$B$13,"boss")</x:f>
        <x:v>1</x:v>
      </x:c>
      <x:c r="D17" t="str">
        <x:v>终局Boss</x:v>
      </x:c>
    </x:row>
    <x:row r="19" ht="34" customHeight="1">
      <x:c r="A19" s="44" t="str">
        <x:v>注意：试算表的公式不导出到CSV。仅使用六张主数据表作为运行时配置；试算结果没有真人测试依据。</x:v>
      </x:c>
      <x:c r="B19" s="44"/>
      <x:c r="C19" s="44"/>
      <x:c r="D19" s="44"/>
      <x:c r="E19" s="44"/>
      <x:c r="F19" s="44"/>
      <x:c r="G19" s="44"/>
    </x:row>
  </x:sheetData>
  <x:mergeCells>
    <x:mergeCell ref="A1:I1"/>
    <x:mergeCell ref="A8:G8"/>
    <x:mergeCell ref="A19:G19"/>
  </x:mergeCells>
  <x:pageMargins left="0.7" right="0.7" top="0.75" bottom="0.75" header="0.3" footer="0.3"/>
</x:worksheet>
</file>